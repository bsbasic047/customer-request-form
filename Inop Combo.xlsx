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9_{C4B3BCCC-B8D8-4038-8A09-25D2592DA14C}" xr6:coauthVersionLast="47" xr6:coauthVersionMax="47" xr10:uidLastSave="{00000000-0000-0000-0000-000000000000}"/>
  <bookViews>
    <workbookView xWindow="-120" yWindow="-120" windowWidth="20730" windowHeight="11040" activeTab="3" xr2:uid="{80A45DA0-DFDC-47B6-9004-8CCBDE46ED09}"/>
  </bookViews>
  <sheets>
    <sheet name="PDF FIELDS" sheetId="1" r:id="rId1"/>
    <sheet name="HTML FIELDS" sheetId="3" r:id="rId2"/>
    <sheet name="COMBINED VARIABLES" sheetId="4" r:id="rId3"/>
    <sheet name="FIELD ASSIGNMENT" sheetId="2" r:id="rId4"/>
  </sheets>
  <definedNames>
    <definedName name="_xlnm._FilterDatabase" localSheetId="3" hidden="1">'FIELD ASSIGNMENT'!$A$1:$C$53</definedName>
    <definedName name="_xlnm._FilterDatabase" localSheetId="1" hidden="1">'HTML FIELDS'!$A$1:$A$32</definedName>
  </definedNames>
  <calcPr calcId="0"/>
</workbook>
</file>

<file path=xl/calcChain.xml><?xml version="1.0" encoding="utf-8"?>
<calcChain xmlns="http://schemas.openxmlformats.org/spreadsheetml/2006/main">
  <c r="D1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2" i="2"/>
</calcChain>
</file>

<file path=xl/sharedStrings.xml><?xml version="1.0" encoding="utf-8"?>
<sst xmlns="http://schemas.openxmlformats.org/spreadsheetml/2006/main" count="295" uniqueCount="160">
  <si>
    <t>BNAME-18F</t>
  </si>
  <si>
    <t>BCODE-5F</t>
  </si>
  <si>
    <t>DATE-8F</t>
  </si>
  <si>
    <t>ACCNO-16F</t>
  </si>
  <si>
    <t>FNAME-39F</t>
  </si>
  <si>
    <t>LNAME-39F</t>
  </si>
  <si>
    <t>DOB-8F</t>
  </si>
  <si>
    <t>MALE-CB</t>
  </si>
  <si>
    <t>FEMALE-CB</t>
  </si>
  <si>
    <t>TRANS-CB</t>
  </si>
  <si>
    <t>FATHER-CB</t>
  </si>
  <si>
    <t>FATHER-40F</t>
  </si>
  <si>
    <t>SG-CB</t>
  </si>
  <si>
    <t>CG-CB</t>
  </si>
  <si>
    <t>PSU-CB</t>
  </si>
  <si>
    <t>DEFENCE-CB</t>
  </si>
  <si>
    <t>PVT-CB</t>
  </si>
  <si>
    <t>OTHPROF-CB</t>
  </si>
  <si>
    <t>INCOME-16F</t>
  </si>
  <si>
    <t>HINDU-CB</t>
  </si>
  <si>
    <t>MUSLIM-CB</t>
  </si>
  <si>
    <t>CHRIST-CB</t>
  </si>
  <si>
    <t>SIKH-CB</t>
  </si>
  <si>
    <t>GEN-CB</t>
  </si>
  <si>
    <t>OBC-CB</t>
  </si>
  <si>
    <t>SC-CB</t>
  </si>
  <si>
    <t>ST-CB</t>
  </si>
  <si>
    <t>HOUSEWIFE-CB</t>
  </si>
  <si>
    <t>STUDENT-CB</t>
  </si>
  <si>
    <t>DESIG-13F</t>
  </si>
  <si>
    <t>PAN-10F</t>
  </si>
  <si>
    <t>MOBILE-10F</t>
  </si>
  <si>
    <t>MAIL-24F</t>
  </si>
  <si>
    <t>CADDR-CB</t>
  </si>
  <si>
    <t>SAMEADDR-CB</t>
  </si>
  <si>
    <t>ADDR1-40F</t>
  </si>
  <si>
    <t>ADDR2-40F</t>
  </si>
  <si>
    <t>CITY-13F</t>
  </si>
  <si>
    <t>DISTRICT-23F</t>
  </si>
  <si>
    <t>STATE-13F</t>
  </si>
  <si>
    <t>PINCODE-6F</t>
  </si>
  <si>
    <t>COUNTRY-13F</t>
  </si>
  <si>
    <t>BNAME-21F</t>
  </si>
  <si>
    <t>SELFCERT-CB</t>
  </si>
  <si>
    <t>PASSPORT-CB</t>
  </si>
  <si>
    <t>VOTERID-CB</t>
  </si>
  <si>
    <t>DL-CB</t>
  </si>
  <si>
    <t>UID-CB</t>
  </si>
  <si>
    <t>EKYC-CB</t>
  </si>
  <si>
    <t>OVD-NO</t>
  </si>
  <si>
    <t>SB-CB</t>
  </si>
  <si>
    <t>SELFMOP-CB</t>
  </si>
  <si>
    <t>ATM-CB</t>
  </si>
  <si>
    <t>SMS-CB</t>
  </si>
  <si>
    <t>PHONEBANK-CB</t>
  </si>
  <si>
    <t>MOBBANK-CB</t>
  </si>
  <si>
    <t>PASSBOOK-CB</t>
  </si>
  <si>
    <t>NAME</t>
  </si>
  <si>
    <t>BRANCH</t>
  </si>
  <si>
    <t>I/We want the name of the nominee to be printed on the passbook</t>
  </si>
  <si>
    <t>ACCNO_BOX</t>
  </si>
  <si>
    <t>NOMINEE_BOX</t>
  </si>
  <si>
    <t>NOMINEE_ADDR</t>
  </si>
  <si>
    <t>Mobile Number of the Nominee</t>
  </si>
  <si>
    <t>NOMINEE_MOBILE_BOX</t>
  </si>
  <si>
    <t>Relationship with the Depositor</t>
  </si>
  <si>
    <t>NOMINEE_AGE</t>
  </si>
  <si>
    <t>As the nominee is a minor on this date, I appoint Shri / Smt / Kum</t>
  </si>
  <si>
    <t>Text Field1</t>
  </si>
  <si>
    <t>Text Field2</t>
  </si>
  <si>
    <t>Address_2</t>
  </si>
  <si>
    <t>to receive the amount of deposit on behalf of the nominee in the event of my/our/minor death during the minority of the nominee</t>
  </si>
  <si>
    <t>BNAME</t>
  </si>
  <si>
    <t>Check Box0</t>
  </si>
  <si>
    <t>BCODE</t>
  </si>
  <si>
    <t>DATE</t>
  </si>
  <si>
    <t>ACCNO</t>
  </si>
  <si>
    <t>FULL-NAME</t>
  </si>
  <si>
    <t>FULL-ADDR</t>
  </si>
  <si>
    <t>OVD-NAME</t>
  </si>
  <si>
    <t>Inop Combo.pdf</t>
  </si>
  <si>
    <t>Yes</t>
  </si>
  <si>
    <t>Off</t>
  </si>
  <si>
    <t>customerRequestForm</t>
  </si>
  <si>
    <t>formTitle</t>
  </si>
  <si>
    <t>requestType</t>
  </si>
  <si>
    <t>accountNumber</t>
  </si>
  <si>
    <t>firstName</t>
  </si>
  <si>
    <t>lastName</t>
  </si>
  <si>
    <t>fatherName</t>
  </si>
  <si>
    <t>dateOfBirth</t>
  </si>
  <si>
    <t>gender</t>
  </si>
  <si>
    <t>doorApartment</t>
  </si>
  <si>
    <t>streetName</t>
  </si>
  <si>
    <t>area</t>
  </si>
  <si>
    <t>city</t>
  </si>
  <si>
    <t>district</t>
  </si>
  <si>
    <t>pincode</t>
  </si>
  <si>
    <t>mobile</t>
  </si>
  <si>
    <t>occupation</t>
  </si>
  <si>
    <t>salariedSection</t>
  </si>
  <si>
    <t>companyName</t>
  </si>
  <si>
    <t>designation</t>
  </si>
  <si>
    <t>occupationType</t>
  </si>
  <si>
    <t>branch</t>
  </si>
  <si>
    <t>formDate</t>
  </si>
  <si>
    <t>panNumber</t>
  </si>
  <si>
    <t>ovdType</t>
  </si>
  <si>
    <t>ovdNumber</t>
  </si>
  <si>
    <t>religion</t>
  </si>
  <si>
    <t>monthlyIncome</t>
  </si>
  <si>
    <t>category</t>
  </si>
  <si>
    <t>email</t>
  </si>
  <si>
    <t>submitFormBtn</t>
  </si>
  <si>
    <t>bottomBar</t>
  </si>
  <si>
    <t>"Yes" if occupationType dropdown value is "CENTRAL_GOVT"</t>
  </si>
  <si>
    <t>"Yes" if religion dropdown value is "CHRISTIAN"</t>
  </si>
  <si>
    <t>"Yes" if occupationType dropdown value is "DEFENSE"</t>
  </si>
  <si>
    <t>"Yes" if occupationType dropdown value is "PSU"</t>
  </si>
  <si>
    <t>"Yes" if occupationType dropdown value is "PRIVATE"</t>
  </si>
  <si>
    <t>"Yes" if gender dropdown value is "FEMALE"</t>
  </si>
  <si>
    <t>"Yes" if gender dropdown value is "MALE"</t>
  </si>
  <si>
    <t>"Yes" if gender dropdown value is "TRANSGENDER"</t>
  </si>
  <si>
    <t>"Yes" if ovdType dropdown value is "PASSPORT"</t>
  </si>
  <si>
    <t>"Yes" if ovdType dropdown value is "AADHAAR"</t>
  </si>
  <si>
    <t>"Yes" if ovdType dropdown value is "DRIVING_LICENSE"</t>
  </si>
  <si>
    <t>"Yes" if ovdType dropdown value is "VOTER_ID"</t>
  </si>
  <si>
    <t>"Yes" if category dropdown value is "GENERAL"</t>
  </si>
  <si>
    <t>"Yes" if category dropdown value is "OBC"</t>
  </si>
  <si>
    <t>"Yes" if category dropdown value is "ST"</t>
  </si>
  <si>
    <t>"Yes" if category dropdown value is "SC"</t>
  </si>
  <si>
    <t>"Yes" if religion dropdown value is "HINDU"</t>
  </si>
  <si>
    <t>"Yes" if religion dropdown value is "MUSLIM"</t>
  </si>
  <si>
    <t>"Yes" if occupation dropdown value is "HOUSEWIFE"</t>
  </si>
  <si>
    <t>"Yes" if occupation dropdown value is "STUDENT"</t>
  </si>
  <si>
    <t>"Yes" if occupationType dropdown value is "STATE_GOVT"</t>
  </si>
  <si>
    <t>"Yes" if religion dropdown value is "SIKH"</t>
  </si>
  <si>
    <t>"Yes" if occupation dropdown value is "BUSINESS"</t>
  </si>
  <si>
    <t>TYPE</t>
  </si>
  <si>
    <t>VALUE</t>
  </si>
  <si>
    <t>PDF FIELD</t>
  </si>
  <si>
    <t>DROPDOWN</t>
  </si>
  <si>
    <t>DERIVED</t>
  </si>
  <si>
    <t>country</t>
  </si>
  <si>
    <t>DD/MM/YYYY format of formDate</t>
  </si>
  <si>
    <t>DDMMYYYY format of formDate</t>
  </si>
  <si>
    <t>DDMMYYYY format of dateOfBirth</t>
  </si>
  <si>
    <t>state</t>
  </si>
  <si>
    <t>bcode = Text to the right of hyphen in branch field, remove spaces padded by zeroes in the beginning, total length to be 5</t>
  </si>
  <si>
    <t>bname = Text to the left of hyphen in branch field</t>
  </si>
  <si>
    <t>bcode js variable</t>
  </si>
  <si>
    <t>bname js variable</t>
  </si>
  <si>
    <t>addr1 = first 40 characters of fullAddress js variable, but restrict till the last possible comma</t>
  </si>
  <si>
    <t xml:space="preserve">fullAddress = doorApartment, streetName, area, (separated by comma and space). </t>
  </si>
  <si>
    <t>addr2 = remaining part of fullAddress (without addr1, but restrict its total length to 40, if fullAddress length is less than 40, leave this variable blank)</t>
  </si>
  <si>
    <t>fullName = firstName and lastName separated by space</t>
  </si>
  <si>
    <t>addr1 js variable</t>
  </si>
  <si>
    <t>addr2 js variable</t>
  </si>
  <si>
    <t>fullName js variable</t>
  </si>
  <si>
    <t>fullAddress js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</si>
</sst>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E292-AE01-4641-92A4-8368A29B9D19}">
  <dimension ref="A1:CC2"/>
  <sheetViews>
    <sheetView workbookViewId="0"/>
  </sheetViews>
  <sheetFormatPr defaultRowHeight="18.75" x14ac:dyDescent="0.3"/>
  <cols>
    <col min="1" max="1" width="13.59765625" bestFit="1" customWidth="1"/>
    <col min="2" max="2" width="10.09765625" bestFit="1" customWidth="1"/>
    <col min="3" max="3" width="9.19921875" bestFit="1" customWidth="1"/>
    <col min="4" max="4" width="7.3984375" bestFit="1" customWidth="1"/>
    <col min="5" max="5" width="10.296875" bestFit="1" customWidth="1"/>
    <col min="6" max="7" width="9.8984375" bestFit="1" customWidth="1"/>
    <col min="8" max="8" width="7" bestFit="1" customWidth="1"/>
    <col min="9" max="9" width="8.09765625" bestFit="1" customWidth="1"/>
    <col min="10" max="10" width="10" bestFit="1" customWidth="1"/>
    <col min="11" max="11" width="8.8984375" bestFit="1" customWidth="1"/>
    <col min="12" max="12" width="9.796875" bestFit="1" customWidth="1"/>
    <col min="13" max="13" width="10.3984375" bestFit="1" customWidth="1"/>
    <col min="14" max="14" width="6" bestFit="1" customWidth="1"/>
    <col min="15" max="15" width="6.19921875" bestFit="1" customWidth="1"/>
    <col min="16" max="16" width="7" bestFit="1" customWidth="1"/>
    <col min="17" max="17" width="11.296875" bestFit="1" customWidth="1"/>
    <col min="18" max="18" width="6.59765625" bestFit="1" customWidth="1"/>
    <col min="19" max="19" width="11.3984375" bestFit="1" customWidth="1"/>
    <col min="20" max="20" width="11" bestFit="1" customWidth="1"/>
    <col min="21" max="21" width="9.09765625" bestFit="1" customWidth="1"/>
    <col min="22" max="22" width="10.19921875" bestFit="1" customWidth="1"/>
    <col min="23" max="23" width="9.59765625" bestFit="1" customWidth="1"/>
    <col min="24" max="24" width="7.5" bestFit="1" customWidth="1"/>
    <col min="25" max="25" width="7.19921875" bestFit="1" customWidth="1"/>
    <col min="26" max="26" width="7.3984375" bestFit="1" customWidth="1"/>
    <col min="27" max="27" width="6" bestFit="1" customWidth="1"/>
    <col min="28" max="28" width="5.59765625" bestFit="1" customWidth="1"/>
    <col min="29" max="29" width="13.5" bestFit="1" customWidth="1"/>
    <col min="30" max="30" width="11" bestFit="1" customWidth="1"/>
    <col min="31" max="31" width="9.296875" bestFit="1" customWidth="1"/>
    <col min="32" max="32" width="7.59765625" bestFit="1" customWidth="1"/>
    <col min="33" max="33" width="10.59765625" bestFit="1" customWidth="1"/>
    <col min="34" max="34" width="8.19921875" bestFit="1" customWidth="1"/>
    <col min="35" max="35" width="9.5" bestFit="1" customWidth="1"/>
    <col min="36" max="36" width="12.69921875" bestFit="1" customWidth="1"/>
    <col min="37" max="38" width="9.8984375" bestFit="1" customWidth="1"/>
    <col min="39" max="39" width="7.796875" bestFit="1" customWidth="1"/>
    <col min="40" max="40" width="11.5" bestFit="1" customWidth="1"/>
    <col min="41" max="41" width="9" bestFit="1" customWidth="1"/>
    <col min="42" max="42" width="10.796875" bestFit="1" customWidth="1"/>
    <col min="43" max="43" width="12.09765625" bestFit="1" customWidth="1"/>
    <col min="44" max="44" width="10.09765625" bestFit="1" customWidth="1"/>
    <col min="45" max="45" width="11.69921875" bestFit="1" customWidth="1"/>
    <col min="46" max="46" width="12" bestFit="1" customWidth="1"/>
    <col min="47" max="47" width="10.69921875" bestFit="1" customWidth="1"/>
    <col min="48" max="48" width="5.8984375" bestFit="1" customWidth="1"/>
    <col min="49" max="49" width="6.69921875" bestFit="1" customWidth="1"/>
    <col min="50" max="50" width="7.8984375" bestFit="1" customWidth="1"/>
    <col min="51" max="51" width="7.5" bestFit="1" customWidth="1"/>
    <col min="52" max="52" width="5.8984375" bestFit="1" customWidth="1"/>
    <col min="53" max="53" width="11.296875" bestFit="1" customWidth="1"/>
    <col min="54" max="54" width="7" bestFit="1" customWidth="1"/>
    <col min="55" max="55" width="7.19921875" bestFit="1" customWidth="1"/>
    <col min="56" max="56" width="13.8984375" bestFit="1" customWidth="1"/>
    <col min="57" max="57" width="11.8984375" bestFit="1" customWidth="1"/>
    <col min="58" max="58" width="12.5" bestFit="1" customWidth="1"/>
    <col min="59" max="59" width="5.5" bestFit="1" customWidth="1"/>
    <col min="60" max="60" width="7.69921875" bestFit="1" customWidth="1"/>
    <col min="61" max="61" width="52.296875" bestFit="1" customWidth="1"/>
    <col min="62" max="62" width="11" bestFit="1" customWidth="1"/>
    <col min="63" max="63" width="12.69921875" bestFit="1" customWidth="1"/>
    <col min="64" max="64" width="13.8984375" bestFit="1" customWidth="1"/>
    <col min="65" max="65" width="25.09765625" bestFit="1" customWidth="1"/>
    <col min="66" max="66" width="19.8984375" bestFit="1" customWidth="1"/>
    <col min="67" max="67" width="25.296875" bestFit="1" customWidth="1"/>
    <col min="68" max="68" width="12.5" bestFit="1" customWidth="1"/>
    <col min="69" max="69" width="51.3984375" bestFit="1" customWidth="1"/>
    <col min="70" max="71" width="9.09765625" bestFit="1" customWidth="1"/>
    <col min="73" max="73" width="101.09765625" bestFit="1" customWidth="1"/>
    <col min="74" max="74" width="6.59765625" bestFit="1" customWidth="1"/>
    <col min="75" max="75" width="10.09765625" bestFit="1" customWidth="1"/>
    <col min="76" max="76" width="6.69921875" bestFit="1" customWidth="1"/>
    <col min="77" max="77" width="4.8984375" bestFit="1" customWidth="1"/>
    <col min="78" max="78" width="6.796875" bestFit="1" customWidth="1"/>
    <col min="79" max="79" width="10" bestFit="1" customWidth="1"/>
    <col min="80" max="80" width="9.8984375" bestFit="1" customWidth="1"/>
    <col min="81" max="81" width="9.59765625" bestFit="1" customWidth="1"/>
  </cols>
  <sheetData>
    <row r="1" spans="1:8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</row>
    <row r="2" spans="1:81" x14ac:dyDescent="0.3">
      <c r="A2" t="s">
        <v>80</v>
      </c>
      <c r="I2" t="s">
        <v>81</v>
      </c>
      <c r="J2" t="s">
        <v>82</v>
      </c>
      <c r="K2" t="s">
        <v>82</v>
      </c>
      <c r="L2" t="s">
        <v>82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82</v>
      </c>
      <c r="U2" t="s">
        <v>82</v>
      </c>
      <c r="V2" t="s">
        <v>82</v>
      </c>
      <c r="W2" t="s">
        <v>82</v>
      </c>
      <c r="X2" t="s">
        <v>82</v>
      </c>
      <c r="Y2" t="s">
        <v>82</v>
      </c>
      <c r="Z2" t="s">
        <v>82</v>
      </c>
      <c r="AA2" t="s">
        <v>82</v>
      </c>
      <c r="AB2" t="s">
        <v>82</v>
      </c>
      <c r="AC2" t="s">
        <v>82</v>
      </c>
      <c r="AD2" t="s">
        <v>82</v>
      </c>
      <c r="AI2" t="s">
        <v>82</v>
      </c>
      <c r="AJ2" t="s">
        <v>82</v>
      </c>
      <c r="AS2" t="s">
        <v>82</v>
      </c>
      <c r="AT2" t="s">
        <v>82</v>
      </c>
      <c r="AU2" t="s">
        <v>82</v>
      </c>
      <c r="AV2" t="s">
        <v>82</v>
      </c>
      <c r="AW2" t="s">
        <v>82</v>
      </c>
      <c r="AX2" t="s">
        <v>82</v>
      </c>
      <c r="AZ2" t="s">
        <v>81</v>
      </c>
      <c r="BA2" t="s">
        <v>81</v>
      </c>
      <c r="BB2" t="s">
        <v>82</v>
      </c>
      <c r="BC2" t="s">
        <v>81</v>
      </c>
      <c r="BD2" t="s">
        <v>82</v>
      </c>
      <c r="BE2" t="s">
        <v>82</v>
      </c>
      <c r="BF2" t="s">
        <v>81</v>
      </c>
      <c r="BI2" t="s">
        <v>82</v>
      </c>
      <c r="BW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CFC0-6659-4DFC-8EF9-AEFB994D0A43}">
  <dimension ref="A1:A32"/>
  <sheetViews>
    <sheetView workbookViewId="0">
      <selection activeCell="A15" sqref="A15"/>
    </sheetView>
  </sheetViews>
  <sheetFormatPr defaultRowHeight="18.75" x14ac:dyDescent="0.3"/>
  <cols>
    <col min="1" max="1" width="18.69921875" bestFit="1" customWidth="1"/>
  </cols>
  <sheetData>
    <row r="1" spans="1:1" x14ac:dyDescent="0.3">
      <c r="A1" t="s">
        <v>83</v>
      </c>
    </row>
    <row r="2" spans="1:1" x14ac:dyDescent="0.3">
      <c r="A2" t="s">
        <v>86</v>
      </c>
    </row>
    <row r="3" spans="1:1" x14ac:dyDescent="0.3">
      <c r="A3" t="s">
        <v>94</v>
      </c>
    </row>
    <row r="4" spans="1:1" x14ac:dyDescent="0.3">
      <c r="A4" t="s">
        <v>114</v>
      </c>
    </row>
    <row r="5" spans="1:1" x14ac:dyDescent="0.3">
      <c r="A5" t="s">
        <v>104</v>
      </c>
    </row>
    <row r="6" spans="1:1" x14ac:dyDescent="0.3">
      <c r="A6" t="s">
        <v>111</v>
      </c>
    </row>
    <row r="7" spans="1:1" x14ac:dyDescent="0.3">
      <c r="A7" t="s">
        <v>95</v>
      </c>
    </row>
    <row r="8" spans="1:1" x14ac:dyDescent="0.3">
      <c r="A8" t="s">
        <v>101</v>
      </c>
    </row>
    <row r="9" spans="1:1" x14ac:dyDescent="0.3">
      <c r="A9" t="s">
        <v>90</v>
      </c>
    </row>
    <row r="10" spans="1:1" x14ac:dyDescent="0.3">
      <c r="A10" t="s">
        <v>102</v>
      </c>
    </row>
    <row r="11" spans="1:1" x14ac:dyDescent="0.3">
      <c r="A11" t="s">
        <v>96</v>
      </c>
    </row>
    <row r="12" spans="1:1" x14ac:dyDescent="0.3">
      <c r="A12" t="s">
        <v>92</v>
      </c>
    </row>
    <row r="13" spans="1:1" x14ac:dyDescent="0.3">
      <c r="A13" t="s">
        <v>112</v>
      </c>
    </row>
    <row r="14" spans="1:1" x14ac:dyDescent="0.3">
      <c r="A14" t="s">
        <v>89</v>
      </c>
    </row>
    <row r="15" spans="1:1" x14ac:dyDescent="0.3">
      <c r="A15" t="s">
        <v>87</v>
      </c>
    </row>
    <row r="16" spans="1:1" x14ac:dyDescent="0.3">
      <c r="A16" t="s">
        <v>105</v>
      </c>
    </row>
    <row r="17" spans="1:1" x14ac:dyDescent="0.3">
      <c r="A17" t="s">
        <v>84</v>
      </c>
    </row>
    <row r="18" spans="1:1" x14ac:dyDescent="0.3">
      <c r="A18" t="s">
        <v>91</v>
      </c>
    </row>
    <row r="19" spans="1:1" x14ac:dyDescent="0.3">
      <c r="A19" t="s">
        <v>88</v>
      </c>
    </row>
    <row r="20" spans="1:1" x14ac:dyDescent="0.3">
      <c r="A20" t="s">
        <v>98</v>
      </c>
    </row>
    <row r="21" spans="1:1" x14ac:dyDescent="0.3">
      <c r="A21" t="s">
        <v>110</v>
      </c>
    </row>
    <row r="22" spans="1:1" x14ac:dyDescent="0.3">
      <c r="A22" t="s">
        <v>99</v>
      </c>
    </row>
    <row r="23" spans="1:1" x14ac:dyDescent="0.3">
      <c r="A23" t="s">
        <v>103</v>
      </c>
    </row>
    <row r="24" spans="1:1" x14ac:dyDescent="0.3">
      <c r="A24" t="s">
        <v>108</v>
      </c>
    </row>
    <row r="25" spans="1:1" x14ac:dyDescent="0.3">
      <c r="A25" t="s">
        <v>107</v>
      </c>
    </row>
    <row r="26" spans="1:1" x14ac:dyDescent="0.3">
      <c r="A26" t="s">
        <v>106</v>
      </c>
    </row>
    <row r="27" spans="1:1" x14ac:dyDescent="0.3">
      <c r="A27" t="s">
        <v>97</v>
      </c>
    </row>
    <row r="28" spans="1:1" x14ac:dyDescent="0.3">
      <c r="A28" t="s">
        <v>109</v>
      </c>
    </row>
    <row r="29" spans="1:1" x14ac:dyDescent="0.3">
      <c r="A29" t="s">
        <v>85</v>
      </c>
    </row>
    <row r="30" spans="1:1" x14ac:dyDescent="0.3">
      <c r="A30" t="s">
        <v>100</v>
      </c>
    </row>
    <row r="31" spans="1:1" x14ac:dyDescent="0.3">
      <c r="A31" t="s">
        <v>93</v>
      </c>
    </row>
    <row r="32" spans="1:1" x14ac:dyDescent="0.3">
      <c r="A32" t="s">
        <v>113</v>
      </c>
    </row>
  </sheetData>
  <autoFilter ref="A1:A32" xr:uid="{95C6CFC0-6659-4DFC-8EF9-AEFB994D0A4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6F65-C832-49FB-A448-D50D43872F46}">
  <dimension ref="A1:A6"/>
  <sheetViews>
    <sheetView workbookViewId="0">
      <selection activeCell="A6" sqref="A6"/>
    </sheetView>
  </sheetViews>
  <sheetFormatPr defaultRowHeight="18.75" x14ac:dyDescent="0.3"/>
  <sheetData>
    <row r="1" spans="1:1" x14ac:dyDescent="0.3">
      <c r="A1" t="s">
        <v>153</v>
      </c>
    </row>
    <row r="2" spans="1:1" x14ac:dyDescent="0.3">
      <c r="A2" t="s">
        <v>152</v>
      </c>
    </row>
    <row r="3" spans="1:1" x14ac:dyDescent="0.3">
      <c r="A3" t="s">
        <v>154</v>
      </c>
    </row>
    <row r="4" spans="1:1" x14ac:dyDescent="0.3">
      <c r="A4" t="s">
        <v>148</v>
      </c>
    </row>
    <row r="5" spans="1:1" x14ac:dyDescent="0.3">
      <c r="A5" t="s">
        <v>149</v>
      </c>
    </row>
    <row r="6" spans="1:1" x14ac:dyDescent="0.3">
      <c r="A6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D6A6-ED7B-44E0-AECB-09E65C443951}">
  <dimension ref="A1:D53"/>
  <sheetViews>
    <sheetView tabSelected="1" topLeftCell="A39" workbookViewId="0">
      <selection activeCell="D1" sqref="D1:D53"/>
    </sheetView>
  </sheetViews>
  <sheetFormatPr defaultRowHeight="18.75" x14ac:dyDescent="0.3"/>
  <cols>
    <col min="1" max="1" width="13.8984375" bestFit="1" customWidth="1"/>
    <col min="2" max="2" width="13.5" bestFit="1" customWidth="1"/>
  </cols>
  <sheetData>
    <row r="1" spans="1:4" x14ac:dyDescent="0.3">
      <c r="A1" t="s">
        <v>140</v>
      </c>
      <c r="B1" t="s">
        <v>139</v>
      </c>
      <c r="C1" t="s">
        <v>138</v>
      </c>
      <c r="D1" t="str">
        <f>A1&amp;"|"&amp;B1</f>
        <v>PDF FIELD|VALUE</v>
      </c>
    </row>
    <row r="2" spans="1:4" x14ac:dyDescent="0.3">
      <c r="A2" t="s">
        <v>76</v>
      </c>
      <c r="B2" t="s">
        <v>86</v>
      </c>
      <c r="D2" t="str">
        <f>A2&amp;"|"&amp;B2</f>
        <v>ACCNO|accountNumber</v>
      </c>
    </row>
    <row r="3" spans="1:4" x14ac:dyDescent="0.3">
      <c r="A3" t="s">
        <v>3</v>
      </c>
      <c r="B3" t="s">
        <v>86</v>
      </c>
      <c r="D3" t="str">
        <f t="shared" ref="D3:D53" si="0">A3&amp;"|"&amp;B3</f>
        <v>ACCNO-16F|accountNumber</v>
      </c>
    </row>
    <row r="4" spans="1:4" x14ac:dyDescent="0.3">
      <c r="A4" t="s">
        <v>35</v>
      </c>
      <c r="B4" t="s">
        <v>156</v>
      </c>
      <c r="C4" t="s">
        <v>142</v>
      </c>
      <c r="D4" t="str">
        <f t="shared" si="0"/>
        <v>ADDR1-40F|addr1 js variable</v>
      </c>
    </row>
    <row r="5" spans="1:4" x14ac:dyDescent="0.3">
      <c r="A5" t="s">
        <v>36</v>
      </c>
      <c r="B5" t="s">
        <v>157</v>
      </c>
      <c r="C5" t="s">
        <v>142</v>
      </c>
      <c r="D5" t="str">
        <f t="shared" si="0"/>
        <v>ADDR2-40F|addr2 js variable</v>
      </c>
    </row>
    <row r="6" spans="1:4" x14ac:dyDescent="0.3">
      <c r="A6" t="s">
        <v>74</v>
      </c>
      <c r="B6" t="s">
        <v>150</v>
      </c>
      <c r="C6" t="s">
        <v>142</v>
      </c>
      <c r="D6" t="str">
        <f t="shared" si="0"/>
        <v>BCODE|bcode js variable</v>
      </c>
    </row>
    <row r="7" spans="1:4" x14ac:dyDescent="0.3">
      <c r="A7" t="s">
        <v>1</v>
      </c>
      <c r="B7" t="s">
        <v>150</v>
      </c>
      <c r="C7" t="s">
        <v>142</v>
      </c>
      <c r="D7" t="str">
        <f t="shared" si="0"/>
        <v>BCODE-5F|bcode js variable</v>
      </c>
    </row>
    <row r="8" spans="1:4" x14ac:dyDescent="0.3">
      <c r="A8" t="s">
        <v>72</v>
      </c>
      <c r="B8" t="s">
        <v>151</v>
      </c>
      <c r="C8" t="s">
        <v>142</v>
      </c>
      <c r="D8" t="str">
        <f t="shared" si="0"/>
        <v>BNAME|bname js variable</v>
      </c>
    </row>
    <row r="9" spans="1:4" x14ac:dyDescent="0.3">
      <c r="A9" t="s">
        <v>0</v>
      </c>
      <c r="B9" t="s">
        <v>151</v>
      </c>
      <c r="C9" t="s">
        <v>142</v>
      </c>
      <c r="D9" t="str">
        <f t="shared" si="0"/>
        <v>BNAME-18F|bname js variable</v>
      </c>
    </row>
    <row r="10" spans="1:4" x14ac:dyDescent="0.3">
      <c r="A10" t="s">
        <v>42</v>
      </c>
      <c r="B10" t="s">
        <v>151</v>
      </c>
      <c r="C10" t="s">
        <v>142</v>
      </c>
      <c r="D10" t="str">
        <f t="shared" si="0"/>
        <v>BNAME-21F|bname js variable</v>
      </c>
    </row>
    <row r="11" spans="1:4" x14ac:dyDescent="0.3">
      <c r="A11" t="s">
        <v>13</v>
      </c>
      <c r="B11" t="s">
        <v>115</v>
      </c>
      <c r="C11" t="s">
        <v>141</v>
      </c>
      <c r="D11" t="str">
        <f t="shared" si="0"/>
        <v>CG-CB|"Yes" if occupationType dropdown value is "CENTRAL_GOVT"</v>
      </c>
    </row>
    <row r="12" spans="1:4" x14ac:dyDescent="0.3">
      <c r="A12" t="s">
        <v>21</v>
      </c>
      <c r="B12" t="s">
        <v>116</v>
      </c>
      <c r="C12" t="s">
        <v>141</v>
      </c>
      <c r="D12" t="str">
        <f t="shared" si="0"/>
        <v>CHRIST-CB|"Yes" if religion dropdown value is "CHRISTIAN"</v>
      </c>
    </row>
    <row r="13" spans="1:4" x14ac:dyDescent="0.3">
      <c r="A13" t="s">
        <v>37</v>
      </c>
      <c r="B13" t="s">
        <v>95</v>
      </c>
      <c r="D13" t="str">
        <f t="shared" si="0"/>
        <v>CITY-13F|city</v>
      </c>
    </row>
    <row r="14" spans="1:4" x14ac:dyDescent="0.3">
      <c r="A14" t="s">
        <v>41</v>
      </c>
      <c r="B14" t="s">
        <v>143</v>
      </c>
      <c r="D14" t="str">
        <f t="shared" si="0"/>
        <v>COUNTRY-13F|country</v>
      </c>
    </row>
    <row r="15" spans="1:4" x14ac:dyDescent="0.3">
      <c r="A15" t="s">
        <v>75</v>
      </c>
      <c r="B15" t="s">
        <v>144</v>
      </c>
      <c r="D15" t="str">
        <f t="shared" si="0"/>
        <v>DATE|DD/MM/YYYY format of formDate</v>
      </c>
    </row>
    <row r="16" spans="1:4" x14ac:dyDescent="0.3">
      <c r="A16" t="s">
        <v>2</v>
      </c>
      <c r="B16" t="s">
        <v>145</v>
      </c>
      <c r="D16" t="str">
        <f t="shared" si="0"/>
        <v>DATE-8F|DDMMYYYY format of formDate</v>
      </c>
    </row>
    <row r="17" spans="1:4" x14ac:dyDescent="0.3">
      <c r="A17" t="s">
        <v>15</v>
      </c>
      <c r="B17" t="s">
        <v>117</v>
      </c>
      <c r="C17" t="s">
        <v>141</v>
      </c>
      <c r="D17" t="str">
        <f t="shared" si="0"/>
        <v>DEFENCE-CB|"Yes" if occupationType dropdown value is "DEFENSE"</v>
      </c>
    </row>
    <row r="18" spans="1:4" x14ac:dyDescent="0.3">
      <c r="A18" t="s">
        <v>29</v>
      </c>
      <c r="B18" t="s">
        <v>102</v>
      </c>
      <c r="D18" t="str">
        <f t="shared" si="0"/>
        <v>DESIG-13F|designation</v>
      </c>
    </row>
    <row r="19" spans="1:4" x14ac:dyDescent="0.3">
      <c r="A19" t="s">
        <v>38</v>
      </c>
      <c r="B19" t="s">
        <v>96</v>
      </c>
      <c r="D19" t="str">
        <f t="shared" si="0"/>
        <v>DISTRICT-23F|district</v>
      </c>
    </row>
    <row r="20" spans="1:4" x14ac:dyDescent="0.3">
      <c r="A20" t="s">
        <v>46</v>
      </c>
      <c r="B20" t="s">
        <v>125</v>
      </c>
      <c r="C20" t="s">
        <v>141</v>
      </c>
      <c r="D20" t="str">
        <f t="shared" si="0"/>
        <v>DL-CB|"Yes" if ovdType dropdown value is "DRIVING_LICENSE"</v>
      </c>
    </row>
    <row r="21" spans="1:4" x14ac:dyDescent="0.3">
      <c r="A21" t="s">
        <v>6</v>
      </c>
      <c r="B21" t="s">
        <v>146</v>
      </c>
      <c r="D21" t="str">
        <f t="shared" si="0"/>
        <v>DOB-8F|DDMMYYYY format of dateOfBirth</v>
      </c>
    </row>
    <row r="22" spans="1:4" x14ac:dyDescent="0.3">
      <c r="A22" t="s">
        <v>11</v>
      </c>
      <c r="B22" t="s">
        <v>89</v>
      </c>
      <c r="D22" t="str">
        <f t="shared" si="0"/>
        <v>FATHER-40F|fatherName</v>
      </c>
    </row>
    <row r="23" spans="1:4" x14ac:dyDescent="0.3">
      <c r="A23" t="s">
        <v>8</v>
      </c>
      <c r="B23" t="s">
        <v>120</v>
      </c>
      <c r="C23" t="s">
        <v>141</v>
      </c>
      <c r="D23" t="str">
        <f t="shared" si="0"/>
        <v>FEMALE-CB|"Yes" if gender dropdown value is "FEMALE"</v>
      </c>
    </row>
    <row r="24" spans="1:4" x14ac:dyDescent="0.3">
      <c r="A24" t="s">
        <v>4</v>
      </c>
      <c r="B24" t="s">
        <v>87</v>
      </c>
      <c r="D24" t="str">
        <f t="shared" si="0"/>
        <v>FNAME-39F|firstName</v>
      </c>
    </row>
    <row r="25" spans="1:4" x14ac:dyDescent="0.3">
      <c r="A25" t="s">
        <v>78</v>
      </c>
      <c r="B25" t="s">
        <v>159</v>
      </c>
      <c r="C25" t="s">
        <v>142</v>
      </c>
      <c r="D25" t="str">
        <f t="shared" si="0"/>
        <v>FULL-ADDR|fullAddress js variable</v>
      </c>
    </row>
    <row r="26" spans="1:4" x14ac:dyDescent="0.3">
      <c r="A26" t="s">
        <v>77</v>
      </c>
      <c r="B26" t="s">
        <v>158</v>
      </c>
      <c r="C26" t="s">
        <v>142</v>
      </c>
      <c r="D26" t="str">
        <f t="shared" si="0"/>
        <v>FULL-NAME|fullName js variable</v>
      </c>
    </row>
    <row r="27" spans="1:4" x14ac:dyDescent="0.3">
      <c r="A27" t="s">
        <v>23</v>
      </c>
      <c r="B27" t="s">
        <v>127</v>
      </c>
      <c r="C27" t="s">
        <v>141</v>
      </c>
      <c r="D27" t="str">
        <f t="shared" si="0"/>
        <v>GEN-CB|"Yes" if category dropdown value is "GENERAL"</v>
      </c>
    </row>
    <row r="28" spans="1:4" x14ac:dyDescent="0.3">
      <c r="A28" t="s">
        <v>19</v>
      </c>
      <c r="B28" t="s">
        <v>131</v>
      </c>
      <c r="C28" t="s">
        <v>141</v>
      </c>
      <c r="D28" t="str">
        <f t="shared" si="0"/>
        <v>HINDU-CB|"Yes" if religion dropdown value is "HINDU"</v>
      </c>
    </row>
    <row r="29" spans="1:4" x14ac:dyDescent="0.3">
      <c r="A29" t="s">
        <v>27</v>
      </c>
      <c r="B29" t="s">
        <v>133</v>
      </c>
      <c r="C29" t="s">
        <v>141</v>
      </c>
      <c r="D29" t="str">
        <f t="shared" si="0"/>
        <v>HOUSEWIFE-CB|"Yes" if occupation dropdown value is "HOUSEWIFE"</v>
      </c>
    </row>
    <row r="30" spans="1:4" x14ac:dyDescent="0.3">
      <c r="A30" t="s">
        <v>18</v>
      </c>
      <c r="B30" t="s">
        <v>110</v>
      </c>
      <c r="D30" t="str">
        <f t="shared" si="0"/>
        <v>INCOME-16F|monthlyIncome</v>
      </c>
    </row>
    <row r="31" spans="1:4" x14ac:dyDescent="0.3">
      <c r="A31" t="s">
        <v>5</v>
      </c>
      <c r="B31" t="s">
        <v>88</v>
      </c>
      <c r="D31" t="str">
        <f t="shared" si="0"/>
        <v>LNAME-39F|lastName</v>
      </c>
    </row>
    <row r="32" spans="1:4" x14ac:dyDescent="0.3">
      <c r="A32" t="s">
        <v>32</v>
      </c>
      <c r="B32" t="s">
        <v>112</v>
      </c>
      <c r="D32" t="str">
        <f t="shared" si="0"/>
        <v>MAIL-24F|email</v>
      </c>
    </row>
    <row r="33" spans="1:4" x14ac:dyDescent="0.3">
      <c r="A33" t="s">
        <v>7</v>
      </c>
      <c r="B33" t="s">
        <v>121</v>
      </c>
      <c r="C33" t="s">
        <v>141</v>
      </c>
      <c r="D33" t="str">
        <f t="shared" si="0"/>
        <v>MALE-CB|"Yes" if gender dropdown value is "MALE"</v>
      </c>
    </row>
    <row r="34" spans="1:4" x14ac:dyDescent="0.3">
      <c r="A34" t="s">
        <v>31</v>
      </c>
      <c r="B34" t="s">
        <v>98</v>
      </c>
      <c r="D34" t="str">
        <f t="shared" si="0"/>
        <v>MOBILE-10F|mobile</v>
      </c>
    </row>
    <row r="35" spans="1:4" x14ac:dyDescent="0.3">
      <c r="A35" t="s">
        <v>20</v>
      </c>
      <c r="B35" t="s">
        <v>132</v>
      </c>
      <c r="C35" t="s">
        <v>141</v>
      </c>
      <c r="D35" t="str">
        <f t="shared" si="0"/>
        <v>MUSLIM-CB|"Yes" if religion dropdown value is "MUSLIM"</v>
      </c>
    </row>
    <row r="36" spans="1:4" x14ac:dyDescent="0.3">
      <c r="A36" t="s">
        <v>24</v>
      </c>
      <c r="B36" t="s">
        <v>128</v>
      </c>
      <c r="C36" t="s">
        <v>141</v>
      </c>
      <c r="D36" t="str">
        <f t="shared" si="0"/>
        <v>OBC-CB|"Yes" if category dropdown value is "OBC"</v>
      </c>
    </row>
    <row r="37" spans="1:4" x14ac:dyDescent="0.3">
      <c r="A37" t="s">
        <v>17</v>
      </c>
      <c r="B37" t="s">
        <v>137</v>
      </c>
      <c r="C37" t="s">
        <v>141</v>
      </c>
      <c r="D37" t="str">
        <f t="shared" si="0"/>
        <v>OTHPROF-CB|"Yes" if occupation dropdown value is "BUSINESS"</v>
      </c>
    </row>
    <row r="38" spans="1:4" x14ac:dyDescent="0.3">
      <c r="A38" t="s">
        <v>79</v>
      </c>
      <c r="B38" t="s">
        <v>107</v>
      </c>
      <c r="D38" t="str">
        <f t="shared" si="0"/>
        <v>OVD-NAME|ovdType</v>
      </c>
    </row>
    <row r="39" spans="1:4" x14ac:dyDescent="0.3">
      <c r="A39" t="s">
        <v>49</v>
      </c>
      <c r="B39" t="s">
        <v>108</v>
      </c>
      <c r="D39" t="str">
        <f t="shared" si="0"/>
        <v>OVD-NO|ovdNumber</v>
      </c>
    </row>
    <row r="40" spans="1:4" x14ac:dyDescent="0.3">
      <c r="A40" t="s">
        <v>30</v>
      </c>
      <c r="B40" t="s">
        <v>106</v>
      </c>
      <c r="D40" t="str">
        <f t="shared" si="0"/>
        <v>PAN-10F|panNumber</v>
      </c>
    </row>
    <row r="41" spans="1:4" x14ac:dyDescent="0.3">
      <c r="A41" t="s">
        <v>44</v>
      </c>
      <c r="B41" t="s">
        <v>123</v>
      </c>
      <c r="C41" t="s">
        <v>141</v>
      </c>
      <c r="D41" t="str">
        <f t="shared" si="0"/>
        <v>PASSPORT-CB|"Yes" if ovdType dropdown value is "PASSPORT"</v>
      </c>
    </row>
    <row r="42" spans="1:4" x14ac:dyDescent="0.3">
      <c r="A42" t="s">
        <v>40</v>
      </c>
      <c r="B42" t="s">
        <v>97</v>
      </c>
      <c r="D42" t="str">
        <f t="shared" si="0"/>
        <v>PINCODE-6F|pincode</v>
      </c>
    </row>
    <row r="43" spans="1:4" x14ac:dyDescent="0.3">
      <c r="A43" t="s">
        <v>14</v>
      </c>
      <c r="B43" t="s">
        <v>118</v>
      </c>
      <c r="C43" t="s">
        <v>141</v>
      </c>
      <c r="D43" t="str">
        <f t="shared" si="0"/>
        <v>PSU-CB|"Yes" if occupationType dropdown value is "PSU"</v>
      </c>
    </row>
    <row r="44" spans="1:4" x14ac:dyDescent="0.3">
      <c r="A44" t="s">
        <v>16</v>
      </c>
      <c r="B44" t="s">
        <v>119</v>
      </c>
      <c r="C44" t="s">
        <v>141</v>
      </c>
      <c r="D44" t="str">
        <f t="shared" si="0"/>
        <v>PVT-CB|"Yes" if occupationType dropdown value is "PRIVATE"</v>
      </c>
    </row>
    <row r="45" spans="1:4" x14ac:dyDescent="0.3">
      <c r="A45" t="s">
        <v>25</v>
      </c>
      <c r="B45" t="s">
        <v>130</v>
      </c>
      <c r="C45" t="s">
        <v>141</v>
      </c>
      <c r="D45" t="str">
        <f t="shared" si="0"/>
        <v>SC-CB|"Yes" if category dropdown value is "SC"</v>
      </c>
    </row>
    <row r="46" spans="1:4" x14ac:dyDescent="0.3">
      <c r="A46" t="s">
        <v>12</v>
      </c>
      <c r="B46" t="s">
        <v>135</v>
      </c>
      <c r="C46" t="s">
        <v>141</v>
      </c>
      <c r="D46" t="str">
        <f t="shared" si="0"/>
        <v>SG-CB|"Yes" if occupationType dropdown value is "STATE_GOVT"</v>
      </c>
    </row>
    <row r="47" spans="1:4" x14ac:dyDescent="0.3">
      <c r="A47" t="s">
        <v>22</v>
      </c>
      <c r="B47" t="s">
        <v>136</v>
      </c>
      <c r="C47" t="s">
        <v>141</v>
      </c>
      <c r="D47" t="str">
        <f t="shared" si="0"/>
        <v>SIKH-CB|"Yes" if religion dropdown value is "SIKH"</v>
      </c>
    </row>
    <row r="48" spans="1:4" x14ac:dyDescent="0.3">
      <c r="A48" t="s">
        <v>39</v>
      </c>
      <c r="B48" t="s">
        <v>147</v>
      </c>
      <c r="D48" t="str">
        <f t="shared" si="0"/>
        <v>STATE-13F|state</v>
      </c>
    </row>
    <row r="49" spans="1:4" x14ac:dyDescent="0.3">
      <c r="A49" t="s">
        <v>26</v>
      </c>
      <c r="B49" t="s">
        <v>129</v>
      </c>
      <c r="C49" t="s">
        <v>141</v>
      </c>
      <c r="D49" t="str">
        <f t="shared" si="0"/>
        <v>ST-CB|"Yes" if category dropdown value is "ST"</v>
      </c>
    </row>
    <row r="50" spans="1:4" x14ac:dyDescent="0.3">
      <c r="A50" t="s">
        <v>28</v>
      </c>
      <c r="B50" t="s">
        <v>134</v>
      </c>
      <c r="C50" t="s">
        <v>141</v>
      </c>
      <c r="D50" t="str">
        <f t="shared" si="0"/>
        <v>STUDENT-CB|"Yes" if occupation dropdown value is "STUDENT"</v>
      </c>
    </row>
    <row r="51" spans="1:4" x14ac:dyDescent="0.3">
      <c r="A51" t="s">
        <v>9</v>
      </c>
      <c r="B51" t="s">
        <v>122</v>
      </c>
      <c r="C51" t="s">
        <v>141</v>
      </c>
      <c r="D51" t="str">
        <f t="shared" si="0"/>
        <v>TRANS-CB|"Yes" if gender dropdown value is "TRANSGENDER"</v>
      </c>
    </row>
    <row r="52" spans="1:4" x14ac:dyDescent="0.3">
      <c r="A52" t="s">
        <v>47</v>
      </c>
      <c r="B52" t="s">
        <v>124</v>
      </c>
      <c r="C52" t="s">
        <v>141</v>
      </c>
      <c r="D52" t="str">
        <f t="shared" si="0"/>
        <v>UID-CB|"Yes" if ovdType dropdown value is "AADHAAR"</v>
      </c>
    </row>
    <row r="53" spans="1:4" x14ac:dyDescent="0.3">
      <c r="A53" t="s">
        <v>45</v>
      </c>
      <c r="B53" t="s">
        <v>126</v>
      </c>
      <c r="C53" t="s">
        <v>141</v>
      </c>
      <c r="D53" t="str">
        <f t="shared" si="0"/>
        <v>VOTERID-CB|"Yes" if ovdType dropdown value is "VOTER_ID"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PDF FIELDS</vt:lpstr>
      <vt:lpstr>HTML FIELDS</vt:lpstr>
      <vt:lpstr>COMBINED VARIABLES</vt:lpstr>
      <vt:lpstr>FIELD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Sulochana, CM Credit &amp; AQ , NW3 , LHO</cp:lastModifiedBy>
  <dcterms:created xsi:type="dcterms:W3CDTF">2025-12-17T17:34:37Z</dcterms:created>
  <dcterms:modified xsi:type="dcterms:W3CDTF">2025-12-17T18:48:16Z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3ada4e-448b-4689-9b53-cdfe99a249d2_Enabled">
    <vt:lpwstr>true</vt:lpwstr>
  </property>
  <property fmtid="{D5CDD505-2E9C-101B-9397-08002B2CF9AE}" pid="3" name="MSIP_Label_183ada4e-448b-4689-9b53-cdfe99a249d2_SetDate">
    <vt:lpwstr>2025-12-17T17:34:37Z</vt:lpwstr>
  </property>
  <property fmtid="{D5CDD505-2E9C-101B-9397-08002B2CF9AE}" pid="4" name="MSIP_Label_183ada4e-448b-4689-9b53-cdfe99a249d2_Method">
    <vt:lpwstr>Privileged</vt:lpwstr>
  </property>
  <property fmtid="{D5CDD505-2E9C-101B-9397-08002B2CF9AE}" pid="5" name="MSIP_Label_183ada4e-448b-4689-9b53-cdfe99a249d2_Name">
    <vt:lpwstr>Public</vt:lpwstr>
  </property>
  <property fmtid="{D5CDD505-2E9C-101B-9397-08002B2CF9AE}" pid="6" name="MSIP_Label_183ada4e-448b-4689-9b53-cdfe99a249d2_SiteId">
    <vt:lpwstr>fbdb2235-7f50-4509-b407-c58325ec27a8</vt:lpwstr>
  </property>
  <property fmtid="{D5CDD505-2E9C-101B-9397-08002B2CF9AE}" pid="7" name="MSIP_Label_183ada4e-448b-4689-9b53-cdfe99a249d2_ActionId">
    <vt:lpwstr>47606456-6d44-4a1d-8d18-0d27eefa6d3a</vt:lpwstr>
  </property>
  <property fmtid="{D5CDD505-2E9C-101B-9397-08002B2CF9AE}" pid="8" name="MSIP_Label_183ada4e-448b-4689-9b53-cdfe99a249d2_ContentBits">
    <vt:lpwstr>0</vt:lpwstr>
  </property>
</Properties>
</file>